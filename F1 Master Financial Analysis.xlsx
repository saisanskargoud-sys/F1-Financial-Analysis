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7abf9d3d126383/Documents/Mission 2026/F1 Project/Raw Data ^0 Excel/"/>
    </mc:Choice>
  </mc:AlternateContent>
  <xr:revisionPtr revIDLastSave="11" documentId="8_{34C08F48-A37A-48B2-B320-50F9EBCB7720}" xr6:coauthVersionLast="47" xr6:coauthVersionMax="47" xr10:uidLastSave="{694AFBA3-5097-44AA-B0BC-079FB7015287}"/>
  <bookViews>
    <workbookView xWindow="2800" yWindow="2800" windowWidth="14400" windowHeight="7270" firstSheet="1" activeTab="4" xr2:uid="{9C141C0F-5ABF-429A-870D-6B1E6EA50DA1}"/>
  </bookViews>
  <sheets>
    <sheet name=" RAW DATA" sheetId="1" r:id="rId1"/>
    <sheet name="RATIO ANALYSIS WITH FORMULAS" sheetId="2" r:id="rId2"/>
    <sheet name="VALUATION" sheetId="3" r:id="rId3"/>
    <sheet name="SUMMARY" sheetId="4" r:id="rId4"/>
    <sheet name="TABLEAU EXPORT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1" i="4" l="1"/>
  <c r="D51" i="4"/>
  <c r="C51" i="4"/>
  <c r="B51" i="4"/>
  <c r="E50" i="4"/>
  <c r="D50" i="4"/>
  <c r="C50" i="4"/>
  <c r="B50" i="4"/>
  <c r="E49" i="4"/>
  <c r="D49" i="4"/>
  <c r="C49" i="4"/>
  <c r="B49" i="4"/>
  <c r="E41" i="4"/>
  <c r="D41" i="4"/>
  <c r="C41" i="4"/>
  <c r="B41" i="4"/>
  <c r="E40" i="4"/>
  <c r="D40" i="4"/>
  <c r="C40" i="4"/>
  <c r="B40" i="4"/>
  <c r="E39" i="4"/>
  <c r="D39" i="4"/>
  <c r="C39" i="4"/>
  <c r="B39" i="4"/>
  <c r="B29" i="4"/>
  <c r="E28" i="4"/>
  <c r="D28" i="4"/>
  <c r="C28" i="4"/>
  <c r="B28" i="4"/>
  <c r="E27" i="4"/>
  <c r="D27" i="4"/>
  <c r="C27" i="4"/>
  <c r="B27" i="4"/>
  <c r="E18" i="4"/>
  <c r="D18" i="4"/>
  <c r="C18" i="4"/>
  <c r="B18" i="4"/>
  <c r="E17" i="4"/>
  <c r="D17" i="4"/>
  <c r="C17" i="4"/>
  <c r="B17" i="4"/>
  <c r="E16" i="4"/>
  <c r="D16" i="4"/>
  <c r="C16" i="4"/>
  <c r="B16" i="4"/>
  <c r="E7" i="4"/>
  <c r="D7" i="4"/>
  <c r="C7" i="4"/>
  <c r="B7" i="4"/>
  <c r="E6" i="4"/>
  <c r="D6" i="4"/>
  <c r="C6" i="4"/>
  <c r="B6" i="4"/>
  <c r="B38" i="3"/>
  <c r="B37" i="3"/>
  <c r="B36" i="3"/>
  <c r="E30" i="3"/>
  <c r="E34" i="3"/>
  <c r="E33" i="3"/>
  <c r="E32" i="3"/>
  <c r="E31" i="3"/>
  <c r="D34" i="3"/>
  <c r="D33" i="3"/>
  <c r="D32" i="3"/>
  <c r="D31" i="3"/>
  <c r="D30" i="3"/>
  <c r="C34" i="3"/>
  <c r="C33" i="3"/>
  <c r="C32" i="3"/>
  <c r="C30" i="3"/>
  <c r="C31" i="3"/>
  <c r="B34" i="3"/>
  <c r="B33" i="3"/>
  <c r="B32" i="3"/>
  <c r="B31" i="3"/>
  <c r="B30" i="3"/>
  <c r="C24" i="3"/>
  <c r="C23" i="3"/>
  <c r="C22" i="3"/>
  <c r="C21" i="3"/>
  <c r="B24" i="3"/>
  <c r="B23" i="3"/>
  <c r="B22" i="3"/>
  <c r="B21" i="3"/>
  <c r="C15" i="3"/>
  <c r="C14" i="3"/>
  <c r="C12" i="3"/>
  <c r="C13" i="3"/>
  <c r="B15" i="3"/>
  <c r="B14" i="3"/>
  <c r="B13" i="3"/>
  <c r="B12" i="3"/>
  <c r="M11" i="2"/>
  <c r="L11" i="2"/>
  <c r="J11" i="2"/>
  <c r="I11" i="2"/>
  <c r="G11" i="2"/>
  <c r="F11" i="2"/>
  <c r="D11" i="2"/>
  <c r="C11" i="2"/>
  <c r="K9" i="2"/>
  <c r="H9" i="2"/>
  <c r="C9" i="2"/>
  <c r="M8" i="2"/>
  <c r="M10" i="2" s="1"/>
  <c r="L8" i="2"/>
  <c r="L10" i="2" s="1"/>
  <c r="K8" i="2"/>
  <c r="K10" i="2" s="1"/>
  <c r="J8" i="2"/>
  <c r="J10" i="2" s="1"/>
  <c r="I8" i="2"/>
  <c r="I9" i="2" s="1"/>
  <c r="H8" i="2"/>
  <c r="H10" i="2" s="1"/>
  <c r="G8" i="2"/>
  <c r="G9" i="2" s="1"/>
  <c r="F8" i="2"/>
  <c r="F9" i="2" s="1"/>
  <c r="E8" i="2"/>
  <c r="E10" i="2" s="1"/>
  <c r="D8" i="2"/>
  <c r="D10" i="2" s="1"/>
  <c r="C8" i="2"/>
  <c r="C10" i="2" s="1"/>
  <c r="B8" i="2"/>
  <c r="B10" i="2" s="1"/>
  <c r="M7" i="2"/>
  <c r="L7" i="2"/>
  <c r="K7" i="2"/>
  <c r="J7" i="2"/>
  <c r="I7" i="2"/>
  <c r="H7" i="2"/>
  <c r="G7" i="2"/>
  <c r="F7" i="2"/>
  <c r="E7" i="2"/>
  <c r="D7" i="2"/>
  <c r="C7" i="2"/>
  <c r="B7" i="2"/>
  <c r="M6" i="2"/>
  <c r="L6" i="2"/>
  <c r="K6" i="2"/>
  <c r="J6" i="2"/>
  <c r="I6" i="2"/>
  <c r="H6" i="2"/>
  <c r="G6" i="2"/>
  <c r="F6" i="2"/>
  <c r="E6" i="2"/>
  <c r="D6" i="2"/>
  <c r="C6" i="2"/>
  <c r="B6" i="2"/>
  <c r="M5" i="2"/>
  <c r="L5" i="2"/>
  <c r="K5" i="2"/>
  <c r="J5" i="2"/>
  <c r="I5" i="2"/>
  <c r="H5" i="2"/>
  <c r="G5" i="2"/>
  <c r="F5" i="2"/>
  <c r="E5" i="2"/>
  <c r="D5" i="2"/>
  <c r="C5" i="2"/>
  <c r="B5" i="2"/>
  <c r="M4" i="2"/>
  <c r="L4" i="2"/>
  <c r="K4" i="2"/>
  <c r="J4" i="2"/>
  <c r="I4" i="2"/>
  <c r="H4" i="2"/>
  <c r="G4" i="2"/>
  <c r="F4" i="2"/>
  <c r="E4" i="2"/>
  <c r="D4" i="2"/>
  <c r="C4" i="2"/>
  <c r="B4" i="2"/>
  <c r="M3" i="2"/>
  <c r="L3" i="2"/>
  <c r="K3" i="2"/>
  <c r="J3" i="2"/>
  <c r="I3" i="2"/>
  <c r="H3" i="2"/>
  <c r="G3" i="2"/>
  <c r="F3" i="2"/>
  <c r="E3" i="2"/>
  <c r="D3" i="2"/>
  <c r="C3" i="2"/>
  <c r="B3" i="2"/>
  <c r="B40" i="3" l="1"/>
  <c r="B41" i="3" s="1"/>
  <c r="B9" i="2"/>
  <c r="J9" i="2"/>
  <c r="F10" i="2"/>
  <c r="G10" i="2"/>
  <c r="D9" i="2"/>
  <c r="L9" i="2"/>
  <c r="E9" i="2"/>
  <c r="M9" i="2"/>
  <c r="I10" i="2"/>
</calcChain>
</file>

<file path=xl/sharedStrings.xml><?xml version="1.0" encoding="utf-8"?>
<sst xmlns="http://schemas.openxmlformats.org/spreadsheetml/2006/main" count="175" uniqueCount="116">
  <si>
    <t>METRIC</t>
  </si>
  <si>
    <t>MCL 2021</t>
  </si>
  <si>
    <t>MCL 2022</t>
  </si>
  <si>
    <t>MCL 2023</t>
  </si>
  <si>
    <t>WIL 2021</t>
  </si>
  <si>
    <t>WIL 2022</t>
  </si>
  <si>
    <t>WIL 2023</t>
  </si>
  <si>
    <t>MER 2021</t>
  </si>
  <si>
    <t>MER 2022</t>
  </si>
  <si>
    <t>MER 2023</t>
  </si>
  <si>
    <t>AMR 2021</t>
  </si>
  <si>
    <t>AMR 2022</t>
  </si>
  <si>
    <t>AMR 2023</t>
  </si>
  <si>
    <t>Turnover</t>
  </si>
  <si>
    <t>Operating P/L</t>
  </si>
  <si>
    <t>Net P/L</t>
  </si>
  <si>
    <t>Total Assets</t>
  </si>
  <si>
    <t>Cash</t>
  </si>
  <si>
    <t>Total Liabilities</t>
  </si>
  <si>
    <t>Employees</t>
  </si>
  <si>
    <t>RATIO NAME</t>
  </si>
  <si>
    <t>EBIT Margin (%)</t>
  </si>
  <si>
    <t>Net Profit Margin (%)</t>
  </si>
  <si>
    <t>Return on Assets (%)</t>
  </si>
  <si>
    <t>Asset Turnover</t>
  </si>
  <si>
    <t>Revenue per Employee</t>
  </si>
  <si>
    <t>Net Equity</t>
  </si>
  <si>
    <t>Debt-to-Equity</t>
  </si>
  <si>
    <t>Return on Equity (%)</t>
  </si>
  <si>
    <t>Revenue Growth (%)</t>
  </si>
  <si>
    <t>RATIO ANALYSIS WITH FORMULAS</t>
  </si>
  <si>
    <t xml:space="preserve">                                         RAW DATA</t>
  </si>
  <si>
    <t>VALUATION BENCHMARKS</t>
  </si>
  <si>
    <t>Metric</t>
  </si>
  <si>
    <t>Value</t>
  </si>
  <si>
    <t>Average F1 Team EV/Revenue Multiple</t>
  </si>
  <si>
    <t>Average Sports Franchise EV/Revenue</t>
  </si>
  <si>
    <t>F1 Entry Fee (New Team)</t>
  </si>
  <si>
    <t>TEAM VALUATIONS (Using 6x Revenue Multiple)</t>
  </si>
  <si>
    <t>Team</t>
  </si>
  <si>
    <t>2023 Revenue (£000)</t>
  </si>
  <si>
    <t>Estimated EV (£M)</t>
  </si>
  <si>
    <t>McLaren</t>
  </si>
  <si>
    <t>Williams</t>
  </si>
  <si>
    <t>Mercedes</t>
  </si>
  <si>
    <t>Aston Martin</t>
  </si>
  <si>
    <t>EBITDA VALUATION (Using 15x EBITDA Multiple)</t>
  </si>
  <si>
    <t>2023 Operating Profit (£000)</t>
  </si>
  <si>
    <t>SIMPLIFIED DCF - McLAREN EXAMPLE</t>
  </si>
  <si>
    <t>Year</t>
  </si>
  <si>
    <t>Revenue Projection (£000)</t>
  </si>
  <si>
    <t>EBIT (8% margin)</t>
  </si>
  <si>
    <t>Discount Factor (10% WACC)</t>
  </si>
  <si>
    <t>Present Value</t>
  </si>
  <si>
    <t>2024E</t>
  </si>
  <si>
    <t>2025E</t>
  </si>
  <si>
    <t>2026E</t>
  </si>
  <si>
    <t>2027E</t>
  </si>
  <si>
    <t>2028E</t>
  </si>
  <si>
    <t>Sum of PV Cash Flows</t>
  </si>
  <si>
    <t>Terminal Value (10x EBIT)</t>
  </si>
  <si>
    <t>PV of Terminal Value</t>
  </si>
  <si>
    <t>ENTERPRISE VALUE (£000)</t>
  </si>
  <si>
    <t>ENTERPRISE VALUE (£B)</t>
  </si>
  <si>
    <t>F1 TEAMS FINANCIAL ANALYSIS - KEY FINDINGS</t>
  </si>
  <si>
    <t>SECTION 1: REVENUE ANALYSIS</t>
  </si>
  <si>
    <t>2023 Revenue (£M)</t>
  </si>
  <si>
    <t>3-Year Revenue Growth</t>
  </si>
  <si>
    <t>Ranking by Revenue</t>
  </si>
  <si>
    <t>KEY INSIGHT: Mercedes leads revenue (£546M) but McLaren shows strongest 3-year growth. Williams smallest by revenue but improving.</t>
  </si>
  <si>
    <t>SECTION 2: PROFITABILITY ANALYSIS</t>
  </si>
  <si>
    <t>2023 EBIT Margin (%)</t>
  </si>
  <si>
    <t>2023 Net Profit (£M)</t>
  </si>
  <si>
    <t>Ranking by EBIT Margin</t>
  </si>
  <si>
    <t>KEY INSIGHT: Williams achieved exceptional 66% EBIT margin in 2023 (vs industry avg 8-10%), driven by cost cap compliance and operational efficiency. Mercedes maintains consistent profitability.</t>
  </si>
  <si>
    <t>SECTION 3: VALUATION SUMMARY</t>
  </si>
  <si>
    <t>Valuation Method</t>
  </si>
  <si>
    <t>Revenue Multiple (6x) £M</t>
  </si>
  <si>
    <t>EBITDA Multiple (15x) £M</t>
  </si>
  <si>
    <t>Valuation Range</t>
  </si>
  <si>
    <t>£527M - £2,586M</t>
  </si>
  <si>
    <t>£762M - £1,264M</t>
  </si>
  <si>
    <t>£1,708M - £3,279M</t>
  </si>
  <si>
    <t>£325M - £1,468M</t>
  </si>
  <si>
    <t>KEY INSIGHT: Revenue-based valuations significantly exceed profitability-based estimates. EBITDA multiple provides more conservative, earnings-justified valuation. Williams shows inverse relationship: low revenue but high EBITDA valuation due to superior margins.</t>
  </si>
  <si>
    <t>SECTION 4: EFFICIENCY &amp; PRODUCTIVITY</t>
  </si>
  <si>
    <t>Revenue per Employee (£000)</t>
  </si>
  <si>
    <t>Employees (2023)</t>
  </si>
  <si>
    <t>KEY INSIGHT: Mercedes achieves highest revenue per employee (£424k) reflecting scale efficiency. Aston Martin lowest productivity (£663k per employee) suggests operational inefficiencies.</t>
  </si>
  <si>
    <t>SECTION 5: FINANCIAL HEALTH</t>
  </si>
  <si>
    <t>Debt-to-Equity Ratio</t>
  </si>
  <si>
    <t>Cash Position (£M)</t>
  </si>
  <si>
    <t>Net Equity (£M)</t>
  </si>
  <si>
    <t>KEY INSIGHT: Williams maintains strongest balance sheet (low leverage, positive equity). Aston Martin highly leveraged, indicating aggressive growth investment or financial stress.</t>
  </si>
  <si>
    <t>TOP 3 INVESTMENT INSIGHTS</t>
  </si>
  <si>
    <t>1. MERCEDES: Market leader by scale and consistency. £3.3B revenue-based valuation justified by dominant market position and stable profitability. Best positioned for sustained performance.</t>
  </si>
  <si>
    <t>2. WILLIAMS: Turnaround story. Exceptional 2023 margins (66% EBIT) drive EBITDA valuation premium despite smallest revenue base. Strong balance sheet provides financial stability. Key risk: margin sustainability under competitive pressure.</t>
  </si>
  <si>
    <t>3. McLAREN: Growth trajectory evident (102% revenue increase 2021-2023) but profitability lags. Revenue multiple (£2.6B) significantly exceeds EBITDA valuation (£527M), suggesting market overvaluation relative to earnings power. Requires margin improvement to justify premium valuation.</t>
  </si>
  <si>
    <t>BULL vs BEAR CASE SUMMARY</t>
  </si>
  <si>
    <t>DCF (McLaren only) £B</t>
  </si>
  <si>
    <t>BULL CASE: F1 commercial growth (Netflix effect, US expansion) lifts all teams. Cost cap creates competitive parity, increasing franchise value scarcity. Growing private equity interest validates premium multiples.</t>
  </si>
  <si>
    <t xml:space="preserve"> BEAR CASE: Cost cap limits revenue reinvestment, constraining growth. Performance volatility impacts prize money (40-50% of revenue). High operational leverage makes teams vulnerable to competitive setbacks. Valuation multiples compressed if Liberty Media growth story falters.</t>
  </si>
  <si>
    <t>Revenue</t>
  </si>
  <si>
    <t>Operating_Profit</t>
  </si>
  <si>
    <t>Net_Profit</t>
  </si>
  <si>
    <t>Total_Assets</t>
  </si>
  <si>
    <t>EBIT_Margin</t>
  </si>
  <si>
    <t>Net_Margin</t>
  </si>
  <si>
    <t>ROE</t>
  </si>
  <si>
    <t>Asset_Turnover</t>
  </si>
  <si>
    <t>Revenue_per_Employee</t>
  </si>
  <si>
    <t>Debt_to_Equity</t>
  </si>
  <si>
    <t>Aston_Martin</t>
  </si>
  <si>
    <t>EBITDA Multiple Val</t>
  </si>
  <si>
    <t>Revenue Multiple Val</t>
  </si>
  <si>
    <t>DCF 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</si>
</sst>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.00_-;\-[$£-809]* #,##0.00_-;_-[$£-809]* &quot;-&quot;??_-;_-@_-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right"/>
    </xf>
    <xf numFmtId="2" fontId="0" fillId="0" borderId="0" xfId="0" applyNumberFormat="1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8A37A-546F-4599-BA26-31A1E824A3AF}">
  <dimension ref="A1:M9"/>
  <sheetViews>
    <sheetView zoomScale="82" zoomScaleNormal="92" workbookViewId="0">
      <selection activeCell="I14" sqref="I14"/>
    </sheetView>
  </sheetViews>
  <sheetFormatPr defaultRowHeight="14.5" x14ac:dyDescent="0.35"/>
  <cols>
    <col min="1" max="1" width="22.1796875" customWidth="1"/>
    <col min="2" max="2" width="16.54296875" customWidth="1"/>
    <col min="3" max="3" width="13" customWidth="1"/>
    <col min="4" max="4" width="14.36328125" customWidth="1"/>
    <col min="5" max="5" width="13.90625" customWidth="1"/>
    <col min="6" max="6" width="16.26953125" customWidth="1"/>
    <col min="7" max="7" width="15.26953125" customWidth="1"/>
    <col min="8" max="8" width="13.81640625" customWidth="1"/>
    <col min="9" max="13" width="12.54296875" bestFit="1" customWidth="1"/>
  </cols>
  <sheetData>
    <row r="1" spans="1:13" x14ac:dyDescent="0.35">
      <c r="A1" s="14" t="s">
        <v>31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35">
      <c r="A3" t="s">
        <v>13</v>
      </c>
      <c r="B3" s="2">
        <v>213017</v>
      </c>
      <c r="C3" s="2">
        <v>327870</v>
      </c>
      <c r="D3" s="2">
        <v>431048</v>
      </c>
      <c r="E3" s="2">
        <v>96396</v>
      </c>
      <c r="F3" s="2">
        <v>142835</v>
      </c>
      <c r="G3" s="2">
        <v>127043</v>
      </c>
      <c r="H3" s="2">
        <v>383302</v>
      </c>
      <c r="I3" s="2">
        <v>474570</v>
      </c>
      <c r="J3" s="2">
        <v>546478</v>
      </c>
      <c r="K3" s="2">
        <v>150438</v>
      </c>
      <c r="L3" s="2">
        <v>188728</v>
      </c>
      <c r="M3" s="2">
        <v>244652</v>
      </c>
    </row>
    <row r="4" spans="1:13" x14ac:dyDescent="0.35">
      <c r="A4" t="s">
        <v>14</v>
      </c>
      <c r="B4" s="2">
        <v>15920</v>
      </c>
      <c r="C4" s="2">
        <v>22949</v>
      </c>
      <c r="D4" s="2">
        <v>35101</v>
      </c>
      <c r="E4" s="2">
        <v>10131</v>
      </c>
      <c r="F4" s="2">
        <v>14561</v>
      </c>
      <c r="G4" s="2">
        <v>84233</v>
      </c>
      <c r="H4" s="2">
        <v>71938</v>
      </c>
      <c r="I4" s="2">
        <v>113640</v>
      </c>
      <c r="J4" s="2">
        <v>113836</v>
      </c>
      <c r="K4" s="2">
        <v>39579</v>
      </c>
      <c r="L4" s="2">
        <v>52714</v>
      </c>
      <c r="M4" s="2">
        <v>21679</v>
      </c>
    </row>
    <row r="5" spans="1:13" x14ac:dyDescent="0.35">
      <c r="A5" t="s">
        <v>15</v>
      </c>
      <c r="B5" s="2">
        <v>7419</v>
      </c>
      <c r="C5" s="2">
        <v>7412</v>
      </c>
      <c r="D5" s="2">
        <v>26117</v>
      </c>
      <c r="E5" s="2">
        <v>11940</v>
      </c>
      <c r="F5" s="2">
        <v>17896</v>
      </c>
      <c r="G5" s="2">
        <v>83892</v>
      </c>
      <c r="H5" s="2">
        <v>68806</v>
      </c>
      <c r="I5" s="2">
        <v>89733</v>
      </c>
      <c r="J5" s="2">
        <v>83825</v>
      </c>
      <c r="K5" s="2">
        <v>43332</v>
      </c>
      <c r="L5" s="2">
        <v>52915</v>
      </c>
      <c r="M5" s="2">
        <v>29705</v>
      </c>
    </row>
    <row r="6" spans="1:13" x14ac:dyDescent="0.35">
      <c r="A6" t="s">
        <v>16</v>
      </c>
      <c r="B6" s="2">
        <v>278515</v>
      </c>
      <c r="C6" s="2">
        <v>329987</v>
      </c>
      <c r="D6" s="2">
        <v>415518</v>
      </c>
      <c r="E6" s="2">
        <v>136897</v>
      </c>
      <c r="F6" s="2">
        <v>165116</v>
      </c>
      <c r="G6" s="2">
        <v>206128</v>
      </c>
      <c r="H6" s="2">
        <v>304247</v>
      </c>
      <c r="I6" s="2">
        <v>356583</v>
      </c>
      <c r="J6" s="2">
        <v>416876</v>
      </c>
      <c r="K6" s="2">
        <v>70362</v>
      </c>
      <c r="L6" s="2">
        <v>246158</v>
      </c>
      <c r="M6" s="2">
        <v>332761</v>
      </c>
    </row>
    <row r="7" spans="1:13" x14ac:dyDescent="0.35">
      <c r="A7" t="s">
        <v>17</v>
      </c>
      <c r="B7" s="2">
        <v>35250</v>
      </c>
      <c r="C7" s="2">
        <v>17630</v>
      </c>
      <c r="D7" s="2">
        <v>17232</v>
      </c>
      <c r="E7" s="2">
        <v>35160</v>
      </c>
      <c r="F7" s="2">
        <v>23281</v>
      </c>
      <c r="G7" s="2">
        <v>39025</v>
      </c>
      <c r="H7" s="2">
        <v>4171</v>
      </c>
      <c r="I7" s="2">
        <v>38012</v>
      </c>
      <c r="J7" s="2">
        <v>33186</v>
      </c>
      <c r="K7" s="2">
        <v>125000</v>
      </c>
      <c r="L7" s="2">
        <v>69774</v>
      </c>
      <c r="M7" s="2">
        <v>78773</v>
      </c>
    </row>
    <row r="8" spans="1:13" x14ac:dyDescent="0.35">
      <c r="A8" t="s">
        <v>18</v>
      </c>
      <c r="B8" s="2">
        <v>186167</v>
      </c>
      <c r="C8" s="2">
        <v>207770</v>
      </c>
      <c r="D8" s="2">
        <v>246136</v>
      </c>
      <c r="E8" s="2">
        <v>37539</v>
      </c>
      <c r="F8" s="2">
        <v>50436</v>
      </c>
      <c r="G8" s="2">
        <v>67095</v>
      </c>
      <c r="H8" s="2">
        <v>164224</v>
      </c>
      <c r="I8" s="2">
        <v>174507</v>
      </c>
      <c r="J8" s="2">
        <v>200053</v>
      </c>
      <c r="K8" s="2">
        <v>49848</v>
      </c>
      <c r="L8" s="2">
        <v>278544</v>
      </c>
      <c r="M8" s="2">
        <v>394852</v>
      </c>
    </row>
    <row r="9" spans="1:13" x14ac:dyDescent="0.35">
      <c r="A9" t="s">
        <v>19</v>
      </c>
      <c r="B9">
        <v>867</v>
      </c>
      <c r="C9">
        <v>1025</v>
      </c>
      <c r="D9">
        <v>1218</v>
      </c>
      <c r="E9">
        <v>720</v>
      </c>
      <c r="F9">
        <v>785</v>
      </c>
      <c r="G9">
        <v>1029</v>
      </c>
      <c r="H9">
        <v>1004</v>
      </c>
      <c r="I9">
        <v>1114</v>
      </c>
      <c r="J9">
        <v>1289</v>
      </c>
      <c r="K9">
        <v>457</v>
      </c>
      <c r="L9">
        <v>449</v>
      </c>
      <c r="M9">
        <v>369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B9F20-24F0-469A-9954-A7E429A258D6}">
  <dimension ref="A1:M11"/>
  <sheetViews>
    <sheetView zoomScale="54" workbookViewId="0">
      <selection activeCell="B6" sqref="B6:M6"/>
    </sheetView>
  </sheetViews>
  <sheetFormatPr defaultRowHeight="14.5" x14ac:dyDescent="0.35"/>
  <cols>
    <col min="1" max="1" width="21.7265625" customWidth="1"/>
    <col min="2" max="2" width="17.90625" customWidth="1"/>
    <col min="3" max="3" width="21.7265625" customWidth="1"/>
    <col min="4" max="4" width="21.81640625" customWidth="1"/>
    <col min="5" max="5" width="23.26953125" customWidth="1"/>
    <col min="6" max="6" width="22.453125" customWidth="1"/>
    <col min="7" max="7" width="20.36328125" customWidth="1"/>
    <col min="8" max="8" width="18" customWidth="1"/>
    <col min="9" max="9" width="29.36328125" customWidth="1"/>
    <col min="10" max="10" width="24.26953125" customWidth="1"/>
    <col min="11" max="11" width="30.36328125" customWidth="1"/>
    <col min="12" max="12" width="24.1796875" customWidth="1"/>
    <col min="13" max="13" width="23.6328125" customWidth="1"/>
  </cols>
  <sheetData>
    <row r="1" spans="1:13" x14ac:dyDescent="0.35">
      <c r="A1" s="14" t="s">
        <v>30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5">
      <c r="A2" t="s">
        <v>20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35">
      <c r="A3" t="s">
        <v>21</v>
      </c>
      <c r="B3">
        <f>' RAW DATA'!B4/' RAW DATA'!B3*100</f>
        <v>7.4735819206917755</v>
      </c>
      <c r="C3">
        <f>' RAW DATA'!C4/' RAW DATA'!C3*100</f>
        <v>6.9994205020282436</v>
      </c>
      <c r="D3">
        <f>' RAW DATA'!D4/' RAW DATA'!D3*100</f>
        <v>8.1431766299808839</v>
      </c>
      <c r="E3">
        <f>' RAW DATA'!E4/' RAW DATA'!E3*100</f>
        <v>10.509772189717417</v>
      </c>
      <c r="F3">
        <f>' RAW DATA'!F4/' RAW DATA'!F3*100</f>
        <v>10.19428011341758</v>
      </c>
      <c r="G3">
        <f>' RAW DATA'!G4/' RAW DATA'!G3*100</f>
        <v>66.302747888510197</v>
      </c>
      <c r="H3">
        <f>' RAW DATA'!H4/' RAW DATA'!H3*100</f>
        <v>18.767968860063345</v>
      </c>
      <c r="I3">
        <f>' RAW DATA'!I4/' RAW DATA'!I3*100</f>
        <v>23.945887856375244</v>
      </c>
      <c r="J3">
        <f>' RAW DATA'!J4/' RAW DATA'!J3*100</f>
        <v>20.830847719395841</v>
      </c>
      <c r="K3">
        <f>' RAW DATA'!K4/' RAW DATA'!K3*100</f>
        <v>26.309177202568502</v>
      </c>
      <c r="L3">
        <f>' RAW DATA'!L4/' RAW DATA'!L3*100</f>
        <v>27.931202577254037</v>
      </c>
      <c r="M3">
        <f>' RAW DATA'!M4/' RAW DATA'!M3*100</f>
        <v>8.8611578895737626</v>
      </c>
    </row>
    <row r="4" spans="1:13" x14ac:dyDescent="0.35">
      <c r="A4" t="s">
        <v>22</v>
      </c>
      <c r="B4">
        <f>' RAW DATA'!B5/' RAW DATA'!B3*100</f>
        <v>3.4828206199505205</v>
      </c>
      <c r="C4">
        <f>' RAW DATA'!C5/' RAW DATA'!C3*100</f>
        <v>2.260652087717693</v>
      </c>
      <c r="D4">
        <f>' RAW DATA'!D5/' RAW DATA'!D3*100</f>
        <v>6.0589539912028361</v>
      </c>
      <c r="E4">
        <f>' RAW DATA'!E5/' RAW DATA'!E3*100</f>
        <v>12.386406074940869</v>
      </c>
      <c r="F4">
        <f>' RAW DATA'!F5/' RAW DATA'!F3*100</f>
        <v>12.529142017012637</v>
      </c>
      <c r="G4">
        <f>' RAW DATA'!G5/' RAW DATA'!G3*100</f>
        <v>66.034334831513746</v>
      </c>
      <c r="H4">
        <f>' RAW DATA'!H5/' RAW DATA'!H3*100</f>
        <v>17.950858591919687</v>
      </c>
      <c r="I4">
        <f>' RAW DATA'!I5/' RAW DATA'!I3*100</f>
        <v>18.908274859346356</v>
      </c>
      <c r="J4">
        <f>' RAW DATA'!J5/' RAW DATA'!J3*100</f>
        <v>15.33913533573172</v>
      </c>
      <c r="K4">
        <f>' RAW DATA'!K5/' RAW DATA'!K3*100</f>
        <v>28.803892633510152</v>
      </c>
      <c r="L4">
        <f>' RAW DATA'!L5/' RAW DATA'!L3*100</f>
        <v>28.03770505701327</v>
      </c>
      <c r="M4">
        <f>' RAW DATA'!M5/' RAW DATA'!M3*100</f>
        <v>12.141736016872946</v>
      </c>
    </row>
    <row r="5" spans="1:13" x14ac:dyDescent="0.35">
      <c r="A5" t="s">
        <v>23</v>
      </c>
      <c r="B5">
        <f>' RAW DATA'!B5/' RAW DATA'!B6*100</f>
        <v>2.6637703534818593</v>
      </c>
      <c r="C5">
        <f>' RAW DATA'!C5/' RAW DATA'!C6*100</f>
        <v>2.2461490907217558</v>
      </c>
      <c r="D5">
        <f>' RAW DATA'!D5/' RAW DATA'!D6*100</f>
        <v>6.2854076117039455</v>
      </c>
      <c r="E5">
        <f>' RAW DATA'!E5/' RAW DATA'!E6*100</f>
        <v>8.7218857973512929</v>
      </c>
      <c r="F5">
        <f>' RAW DATA'!F5/' RAW DATA'!F6*100</f>
        <v>10.838440853702851</v>
      </c>
      <c r="G5">
        <f>' RAW DATA'!G5/' RAW DATA'!G6*100</f>
        <v>40.698983156097185</v>
      </c>
      <c r="H5">
        <f>' RAW DATA'!H5/' RAW DATA'!H6*100</f>
        <v>22.61517779961676</v>
      </c>
      <c r="I5">
        <f>' RAW DATA'!I5/' RAW DATA'!I6*100</f>
        <v>25.164688165167714</v>
      </c>
      <c r="J5">
        <f>' RAW DATA'!J5/' RAW DATA'!J6*100</f>
        <v>20.107897792149224</v>
      </c>
      <c r="K5">
        <f>' RAW DATA'!K5/' RAW DATA'!K6*100</f>
        <v>61.584377931269721</v>
      </c>
      <c r="L5">
        <f>' RAW DATA'!L5/' RAW DATA'!L6*100</f>
        <v>21.496355998992517</v>
      </c>
      <c r="M5">
        <f>' RAW DATA'!M5/' RAW DATA'!M6*100</f>
        <v>8.9268273625815517</v>
      </c>
    </row>
    <row r="6" spans="1:13" x14ac:dyDescent="0.35">
      <c r="A6" t="s">
        <v>24</v>
      </c>
      <c r="B6">
        <f>' RAW DATA'!B3/' RAW DATA'!B6</f>
        <v>0.76483133762993016</v>
      </c>
      <c r="C6">
        <f>' RAW DATA'!C3/' RAW DATA'!C6</f>
        <v>0.99358459575680258</v>
      </c>
      <c r="D6">
        <f>' RAW DATA'!D3/' RAW DATA'!D6</f>
        <v>1.0373750354978606</v>
      </c>
      <c r="E6">
        <f>' RAW DATA'!E3/' RAW DATA'!E6</f>
        <v>0.70414983527761743</v>
      </c>
      <c r="F6">
        <f>' RAW DATA'!F3/' RAW DATA'!F6</f>
        <v>0.8650585043242327</v>
      </c>
      <c r="G6">
        <f>' RAW DATA'!G3/' RAW DATA'!G6</f>
        <v>0.61633062951175965</v>
      </c>
      <c r="H6">
        <f>' RAW DATA'!H3/' RAW DATA'!H6</f>
        <v>1.2598382235486298</v>
      </c>
      <c r="I6">
        <f>' RAW DATA'!I3/' RAW DATA'!I6</f>
        <v>1.3308822910794962</v>
      </c>
      <c r="J6">
        <f>' RAW DATA'!J3/' RAW DATA'!J6</f>
        <v>1.3108886095625558</v>
      </c>
      <c r="K6">
        <f>' RAW DATA'!K3/' RAW DATA'!K6</f>
        <v>2.1380574742048264</v>
      </c>
      <c r="L6">
        <f>' RAW DATA'!L3/' RAW DATA'!L6</f>
        <v>0.76669456202926578</v>
      </c>
      <c r="M6">
        <f>' RAW DATA'!M3/' RAW DATA'!M6</f>
        <v>0.73521836994118905</v>
      </c>
    </row>
    <row r="7" spans="1:13" x14ac:dyDescent="0.35">
      <c r="A7" t="s">
        <v>25</v>
      </c>
      <c r="B7" s="1">
        <f>' RAW DATA'!B3/' RAW DATA'!B9</f>
        <v>245.69434832756633</v>
      </c>
      <c r="C7" s="1">
        <f>' RAW DATA'!C3/' RAW DATA'!C9</f>
        <v>319.87317073170732</v>
      </c>
      <c r="D7" s="1">
        <f>' RAW DATA'!D3/' RAW DATA'!D9</f>
        <v>353.8981937602627</v>
      </c>
      <c r="E7" s="1">
        <f>' RAW DATA'!E3/' RAW DATA'!E9</f>
        <v>133.88333333333333</v>
      </c>
      <c r="F7" s="1">
        <f>' RAW DATA'!F3/' RAW DATA'!F9</f>
        <v>181.95541401273886</v>
      </c>
      <c r="G7" s="1">
        <f>' RAW DATA'!G3/' RAW DATA'!G9</f>
        <v>123.4625850340136</v>
      </c>
      <c r="H7" s="1">
        <f>' RAW DATA'!H3/' RAW DATA'!H9</f>
        <v>381.77490039840637</v>
      </c>
      <c r="I7" s="1">
        <f>' RAW DATA'!I3/' RAW DATA'!I9</f>
        <v>426.00538599640936</v>
      </c>
      <c r="J7" s="1">
        <f>' RAW DATA'!J3/' RAW DATA'!J9</f>
        <v>423.95500387897596</v>
      </c>
      <c r="K7" s="1">
        <f>' RAW DATA'!K3/' RAW DATA'!K9</f>
        <v>329.18599562363238</v>
      </c>
      <c r="L7" s="1">
        <f>' RAW DATA'!L3/' RAW DATA'!L9</f>
        <v>420.32962138084633</v>
      </c>
      <c r="M7" s="1">
        <f>' RAW DATA'!M3/' RAW DATA'!M9</f>
        <v>663.0135501355013</v>
      </c>
    </row>
    <row r="8" spans="1:13" x14ac:dyDescent="0.35">
      <c r="A8" t="s">
        <v>26</v>
      </c>
      <c r="B8" s="1">
        <f>' RAW DATA'!B6-' RAW DATA'!B8</f>
        <v>92348</v>
      </c>
      <c r="C8" s="1">
        <f>' RAW DATA'!C6-' RAW DATA'!C8</f>
        <v>122217</v>
      </c>
      <c r="D8" s="1">
        <f>' RAW DATA'!D6-' RAW DATA'!D8</f>
        <v>169382</v>
      </c>
      <c r="E8" s="1">
        <f>' RAW DATA'!E6-' RAW DATA'!E8</f>
        <v>99358</v>
      </c>
      <c r="F8" s="1">
        <f>' RAW DATA'!F6-' RAW DATA'!F8</f>
        <v>114680</v>
      </c>
      <c r="G8" s="1">
        <f>' RAW DATA'!G6-' RAW DATA'!G8</f>
        <v>139033</v>
      </c>
      <c r="H8" s="1">
        <f>' RAW DATA'!H6-' RAW DATA'!H8</f>
        <v>140023</v>
      </c>
      <c r="I8" s="1">
        <f>' RAW DATA'!I6-' RAW DATA'!I8</f>
        <v>182076</v>
      </c>
      <c r="J8" s="1">
        <f>' RAW DATA'!J6-' RAW DATA'!J8</f>
        <v>216823</v>
      </c>
      <c r="K8" s="1">
        <f>' RAW DATA'!K6-' RAW DATA'!K8</f>
        <v>20514</v>
      </c>
      <c r="L8" s="1">
        <f>' RAW DATA'!L6-' RAW DATA'!L8</f>
        <v>-32386</v>
      </c>
      <c r="M8" s="1">
        <f>' RAW DATA'!M6-' RAW DATA'!M8</f>
        <v>-62091</v>
      </c>
    </row>
    <row r="9" spans="1:13" x14ac:dyDescent="0.35">
      <c r="A9" t="s">
        <v>27</v>
      </c>
      <c r="B9">
        <f>' RAW DATA'!B6/B8</f>
        <v>3.0159288777233941</v>
      </c>
      <c r="C9">
        <f>' RAW DATA'!C6/C8</f>
        <v>2.7000090003845618</v>
      </c>
      <c r="D9">
        <f>' RAW DATA'!D6/D8</f>
        <v>2.4531414199855948</v>
      </c>
      <c r="E9">
        <f>' RAW DATA'!E6/E8</f>
        <v>1.3778155759979065</v>
      </c>
      <c r="F9">
        <f>' RAW DATA'!F6/F8</f>
        <v>1.4397976979420997</v>
      </c>
      <c r="G9">
        <f>' RAW DATA'!G6/G8</f>
        <v>1.4825832715973906</v>
      </c>
      <c r="H9">
        <f>' RAW DATA'!H6/H8</f>
        <v>2.1728358912464381</v>
      </c>
      <c r="I9">
        <f>' RAW DATA'!I6/I8</f>
        <v>1.9584294470440915</v>
      </c>
      <c r="J9">
        <f>' RAW DATA'!J6/J8</f>
        <v>1.9226558068101631</v>
      </c>
      <c r="K9">
        <f>' RAW DATA'!K6/K8</f>
        <v>3.4299502778590232</v>
      </c>
      <c r="L9">
        <f>' RAW DATA'!L6/L8</f>
        <v>-7.6007534119681344</v>
      </c>
      <c r="M9">
        <f>' RAW DATA'!M6/M8</f>
        <v>-5.3592469117907591</v>
      </c>
    </row>
    <row r="10" spans="1:13" x14ac:dyDescent="0.35">
      <c r="A10" t="s">
        <v>28</v>
      </c>
      <c r="B10">
        <f>' RAW DATA'!B5/B8*100</f>
        <v>8.0337419326893915</v>
      </c>
      <c r="C10">
        <f>' RAW DATA'!C5/C8*100</f>
        <v>6.0646227611543404</v>
      </c>
      <c r="D10">
        <f>' RAW DATA'!D5/D8*100</f>
        <v>15.418993753763683</v>
      </c>
      <c r="E10">
        <f>' RAW DATA'!E5/E8*100</f>
        <v>12.017150103665534</v>
      </c>
      <c r="F10">
        <f>' RAW DATA'!F5/F8*100</f>
        <v>15.605162190442973</v>
      </c>
      <c r="G10">
        <f>' RAW DATA'!G5/G8*100</f>
        <v>60.339631598253654</v>
      </c>
      <c r="H10">
        <f>' RAW DATA'!H5/H8*100</f>
        <v>49.13907000992694</v>
      </c>
      <c r="I10">
        <f>' RAW DATA'!I5/I8*100</f>
        <v>49.2832663283464</v>
      </c>
      <c r="J10">
        <f>' RAW DATA'!J5/J8*100</f>
        <v>38.660566452820966</v>
      </c>
      <c r="K10">
        <f>' RAW DATA'!K5/K8*100</f>
        <v>211.23135419713367</v>
      </c>
      <c r="L10">
        <f>' RAW DATA'!L5/L8*100</f>
        <v>-163.38850120422407</v>
      </c>
      <c r="M10">
        <f>' RAW DATA'!M5/M8*100</f>
        <v>-47.841071975004432</v>
      </c>
    </row>
    <row r="11" spans="1:13" x14ac:dyDescent="0.35">
      <c r="A11" t="s">
        <v>29</v>
      </c>
      <c r="C11">
        <f>(' RAW DATA'!C3-' RAW DATA'!B3)/' RAW DATA'!B3*100</f>
        <v>53.917292986005819</v>
      </c>
      <c r="D11">
        <f>(' RAW DATA'!D3-' RAW DATA'!C3)/' RAW DATA'!C3*100</f>
        <v>31.4691798578705</v>
      </c>
      <c r="F11">
        <f>(' RAW DATA'!F3-' RAW DATA'!E3)/' RAW DATA'!E3*100</f>
        <v>48.17523548694966</v>
      </c>
      <c r="G11">
        <f>(' RAW DATA'!G3-' RAW DATA'!F3)/' RAW DATA'!F3*100</f>
        <v>-11.056113697623132</v>
      </c>
      <c r="I11" s="3">
        <f>(' RAW DATA'!I3-' RAW DATA'!H3)/' RAW DATA'!H3*100</f>
        <v>23.810989767859287</v>
      </c>
      <c r="J11" s="3">
        <f>(' RAW DATA'!J3-' RAW DATA'!I3)/' RAW DATA'!I3*100</f>
        <v>15.152243083212172</v>
      </c>
      <c r="L11">
        <f>(' RAW DATA'!L3-' RAW DATA'!K3)/' RAW DATA'!K3*100</f>
        <v>25.452345816881373</v>
      </c>
      <c r="M11">
        <f>(' RAW DATA'!M3-' RAW DATA'!L3)/' RAW DATA'!L3*100</f>
        <v>29.632063074901442</v>
      </c>
    </row>
  </sheetData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B8107-BFC1-4888-A9D2-641EC3A5EBA0}">
  <dimension ref="A1:E41"/>
  <sheetViews>
    <sheetView zoomScale="75" workbookViewId="0">
      <selection activeCell="A42" sqref="A42"/>
    </sheetView>
  </sheetViews>
  <sheetFormatPr defaultRowHeight="14.5" x14ac:dyDescent="0.35"/>
  <cols>
    <col min="1" max="1" width="44.81640625" customWidth="1"/>
    <col min="2" max="2" width="29.26953125" customWidth="1"/>
    <col min="3" max="3" width="27.6328125" customWidth="1"/>
    <col min="4" max="4" width="36.7265625" customWidth="1"/>
    <col min="5" max="5" width="34.453125" customWidth="1"/>
  </cols>
  <sheetData>
    <row r="1" spans="1:3" x14ac:dyDescent="0.35">
      <c r="A1" s="4" t="s">
        <v>32</v>
      </c>
    </row>
    <row r="3" spans="1:3" x14ac:dyDescent="0.35">
      <c r="A3" t="s">
        <v>33</v>
      </c>
      <c r="B3" t="s">
        <v>34</v>
      </c>
    </row>
    <row r="4" spans="1:3" x14ac:dyDescent="0.35">
      <c r="A4" t="s">
        <v>35</v>
      </c>
      <c r="B4">
        <v>6</v>
      </c>
    </row>
    <row r="5" spans="1:3" x14ac:dyDescent="0.35">
      <c r="A5" t="s">
        <v>36</v>
      </c>
      <c r="B5">
        <v>4.5</v>
      </c>
    </row>
    <row r="6" spans="1:3" x14ac:dyDescent="0.35">
      <c r="A6" t="s">
        <v>37</v>
      </c>
      <c r="B6">
        <v>200</v>
      </c>
    </row>
    <row r="9" spans="1:3" x14ac:dyDescent="0.35">
      <c r="A9" s="4" t="s">
        <v>38</v>
      </c>
    </row>
    <row r="11" spans="1:3" x14ac:dyDescent="0.35">
      <c r="A11" t="s">
        <v>39</v>
      </c>
      <c r="B11" t="s">
        <v>40</v>
      </c>
      <c r="C11" t="s">
        <v>41</v>
      </c>
    </row>
    <row r="12" spans="1:3" x14ac:dyDescent="0.35">
      <c r="A12" t="s">
        <v>42</v>
      </c>
      <c r="B12" s="1">
        <f>' RAW DATA'!D3</f>
        <v>431048</v>
      </c>
      <c r="C12" s="1">
        <f>B12*6/1000</f>
        <v>2586.288</v>
      </c>
    </row>
    <row r="13" spans="1:3" x14ac:dyDescent="0.35">
      <c r="A13" t="s">
        <v>43</v>
      </c>
      <c r="B13" s="1">
        <f>' RAW DATA'!G3</f>
        <v>127043</v>
      </c>
      <c r="C13" s="1">
        <f>B13*6/1000</f>
        <v>762.25800000000004</v>
      </c>
    </row>
    <row r="14" spans="1:3" x14ac:dyDescent="0.35">
      <c r="A14" t="s">
        <v>44</v>
      </c>
      <c r="B14" s="1">
        <f>' RAW DATA'!J3</f>
        <v>546478</v>
      </c>
      <c r="C14" s="1">
        <f>B14*6/1000</f>
        <v>3278.8679999999999</v>
      </c>
    </row>
    <row r="15" spans="1:3" x14ac:dyDescent="0.35">
      <c r="A15" t="s">
        <v>45</v>
      </c>
      <c r="B15" s="1">
        <f>' RAW DATA'!M3</f>
        <v>244652</v>
      </c>
      <c r="C15" s="1">
        <f>B15*6/1000</f>
        <v>1467.912</v>
      </c>
    </row>
    <row r="18" spans="1:5" x14ac:dyDescent="0.35">
      <c r="A18" s="4" t="s">
        <v>46</v>
      </c>
    </row>
    <row r="20" spans="1:5" x14ac:dyDescent="0.35">
      <c r="A20" t="s">
        <v>39</v>
      </c>
      <c r="B20" t="s">
        <v>47</v>
      </c>
      <c r="C20" t="s">
        <v>41</v>
      </c>
    </row>
    <row r="21" spans="1:5" x14ac:dyDescent="0.35">
      <c r="A21" t="s">
        <v>42</v>
      </c>
      <c r="B21" s="1">
        <f>' RAW DATA'!D4</f>
        <v>35101</v>
      </c>
      <c r="C21" s="1">
        <f>B21*15/1000</f>
        <v>526.51499999999999</v>
      </c>
    </row>
    <row r="22" spans="1:5" x14ac:dyDescent="0.35">
      <c r="A22" t="s">
        <v>43</v>
      </c>
      <c r="B22" s="1">
        <f>' RAW DATA'!G4</f>
        <v>84233</v>
      </c>
      <c r="C22" s="1">
        <f>B22*15/1000</f>
        <v>1263.4949999999999</v>
      </c>
    </row>
    <row r="23" spans="1:5" x14ac:dyDescent="0.35">
      <c r="A23" t="s">
        <v>44</v>
      </c>
      <c r="B23" s="1">
        <f>' RAW DATA'!J4</f>
        <v>113836</v>
      </c>
      <c r="C23" s="1">
        <f>B23*15/1000</f>
        <v>1707.54</v>
      </c>
    </row>
    <row r="24" spans="1:5" x14ac:dyDescent="0.35">
      <c r="A24" t="s">
        <v>45</v>
      </c>
      <c r="B24" s="1">
        <f>' RAW DATA'!M4</f>
        <v>21679</v>
      </c>
      <c r="C24" s="1">
        <f>B24*15/1000</f>
        <v>325.185</v>
      </c>
    </row>
    <row r="27" spans="1:5" x14ac:dyDescent="0.35">
      <c r="A27" s="4" t="s">
        <v>48</v>
      </c>
    </row>
    <row r="29" spans="1:5" x14ac:dyDescent="0.35">
      <c r="A29" t="s">
        <v>49</v>
      </c>
      <c r="B29" t="s">
        <v>50</v>
      </c>
      <c r="C29" t="s">
        <v>51</v>
      </c>
      <c r="D29" t="s">
        <v>52</v>
      </c>
      <c r="E29" t="s">
        <v>53</v>
      </c>
    </row>
    <row r="30" spans="1:5" x14ac:dyDescent="0.35">
      <c r="A30" t="s">
        <v>54</v>
      </c>
      <c r="B30" s="1">
        <f>' RAW DATA'!D3*15</f>
        <v>6465720</v>
      </c>
      <c r="C30" s="1">
        <f>B30*0.08</f>
        <v>517257.60000000003</v>
      </c>
      <c r="D30">
        <f>1/(1.1^1)</f>
        <v>0.90909090909090906</v>
      </c>
      <c r="E30" s="1">
        <f>C30*D30</f>
        <v>470234.18181818182</v>
      </c>
    </row>
    <row r="31" spans="1:5" x14ac:dyDescent="0.35">
      <c r="A31" t="s">
        <v>55</v>
      </c>
      <c r="B31" s="1">
        <f>B30*1.12</f>
        <v>7241606.4000000004</v>
      </c>
      <c r="C31" s="1">
        <f>B31*0.08</f>
        <v>579328.51199999999</v>
      </c>
      <c r="D31">
        <f>1/(1.1^2)</f>
        <v>0.82644628099173545</v>
      </c>
      <c r="E31" s="1">
        <f>C31*D31</f>
        <v>478783.894214876</v>
      </c>
    </row>
    <row r="32" spans="1:5" x14ac:dyDescent="0.35">
      <c r="A32" t="s">
        <v>56</v>
      </c>
      <c r="B32" s="1">
        <f>B31*1.1</f>
        <v>7965767.040000001</v>
      </c>
      <c r="C32" s="1">
        <f>B32*0.08</f>
        <v>637261.36320000014</v>
      </c>
      <c r="D32">
        <f>1/(1.1^3)</f>
        <v>0.75131480090157754</v>
      </c>
      <c r="E32" s="1">
        <f>C32*D32</f>
        <v>478783.894214876</v>
      </c>
    </row>
    <row r="33" spans="1:5" x14ac:dyDescent="0.35">
      <c r="A33" t="s">
        <v>57</v>
      </c>
      <c r="B33" s="1">
        <f>B32*1.08</f>
        <v>8603028.4032000024</v>
      </c>
      <c r="C33" s="1">
        <f>B33*0.08</f>
        <v>688242.2722560002</v>
      </c>
      <c r="D33">
        <f>1/(1.1^4)</f>
        <v>0.68301345536507052</v>
      </c>
      <c r="E33" s="1">
        <f>C33*D33</f>
        <v>470078.73250187829</v>
      </c>
    </row>
    <row r="34" spans="1:5" x14ac:dyDescent="0.35">
      <c r="A34" t="s">
        <v>58</v>
      </c>
      <c r="B34" s="1">
        <f>B33*1.05</f>
        <v>9033179.8233600035</v>
      </c>
      <c r="C34" s="1">
        <f>B34*0.08</f>
        <v>722654.38586880034</v>
      </c>
      <c r="D34">
        <f>1/(1.1^5)</f>
        <v>0.62092132305915493</v>
      </c>
      <c r="E34" s="1">
        <f>C34*D34</f>
        <v>448711.51738815656</v>
      </c>
    </row>
    <row r="36" spans="1:5" x14ac:dyDescent="0.35">
      <c r="A36" t="s">
        <v>59</v>
      </c>
      <c r="B36" s="1">
        <f>SUM(E30:E34)/1000</f>
        <v>2346.5922201379685</v>
      </c>
    </row>
    <row r="37" spans="1:5" x14ac:dyDescent="0.35">
      <c r="A37" t="s">
        <v>60</v>
      </c>
      <c r="B37" s="1">
        <f>C34*10/1000</f>
        <v>7226.5438586880036</v>
      </c>
    </row>
    <row r="38" spans="1:5" x14ac:dyDescent="0.35">
      <c r="A38" t="s">
        <v>61</v>
      </c>
      <c r="B38" s="1">
        <f>B37*D34</f>
        <v>4487.1151738815661</v>
      </c>
    </row>
    <row r="40" spans="1:5" x14ac:dyDescent="0.35">
      <c r="A40" t="s">
        <v>62</v>
      </c>
      <c r="B40" s="1">
        <f>B36+B38</f>
        <v>6833.7073940195351</v>
      </c>
    </row>
    <row r="41" spans="1:5" x14ac:dyDescent="0.35">
      <c r="A41" t="s">
        <v>63</v>
      </c>
      <c r="B41" s="1">
        <f>B40/1000</f>
        <v>6.8337073940195348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85453-A5B6-4830-A531-3A1A6AAF61D6}">
  <dimension ref="A1:E69"/>
  <sheetViews>
    <sheetView topLeftCell="A54" workbookViewId="0">
      <selection activeCell="A69" sqref="A69"/>
    </sheetView>
  </sheetViews>
  <sheetFormatPr defaultRowHeight="14.5" x14ac:dyDescent="0.35"/>
  <cols>
    <col min="1" max="1" width="46.1796875" customWidth="1"/>
    <col min="2" max="2" width="21.08984375" customWidth="1"/>
    <col min="3" max="3" width="21.453125" customWidth="1"/>
    <col min="4" max="4" width="25.26953125" customWidth="1"/>
    <col min="5" max="5" width="14.81640625" customWidth="1"/>
  </cols>
  <sheetData>
    <row r="1" spans="1:5" x14ac:dyDescent="0.35">
      <c r="A1" s="4" t="s">
        <v>64</v>
      </c>
    </row>
    <row r="3" spans="1:5" x14ac:dyDescent="0.35">
      <c r="A3" s="4" t="s">
        <v>65</v>
      </c>
    </row>
    <row r="4" spans="1:5" ht="15" thickBot="1" x14ac:dyDescent="0.4"/>
    <row r="5" spans="1:5" x14ac:dyDescent="0.35">
      <c r="A5" s="5" t="s">
        <v>33</v>
      </c>
      <c r="B5" s="6" t="s">
        <v>42</v>
      </c>
      <c r="C5" s="6" t="s">
        <v>43</v>
      </c>
      <c r="D5" s="6" t="s">
        <v>44</v>
      </c>
      <c r="E5" s="7" t="s">
        <v>45</v>
      </c>
    </row>
    <row r="6" spans="1:5" x14ac:dyDescent="0.35">
      <c r="A6" s="8" t="s">
        <v>66</v>
      </c>
      <c r="B6">
        <f>' RAW DATA'!D3/1000</f>
        <v>431.048</v>
      </c>
      <c r="C6">
        <f>' RAW DATA'!G3/1000</f>
        <v>127.04300000000001</v>
      </c>
      <c r="D6">
        <f>' RAW DATA'!J3/1000</f>
        <v>546.47799999999995</v>
      </c>
      <c r="E6" s="9">
        <f>' RAW DATA'!M3/1000</f>
        <v>244.65199999999999</v>
      </c>
    </row>
    <row r="7" spans="1:5" x14ac:dyDescent="0.35">
      <c r="A7" s="8" t="s">
        <v>67</v>
      </c>
      <c r="B7">
        <f>((' RAW DATA'!D3-' RAW DATA'!B3)/' RAW DATA'!B3)*100</f>
        <v>102.35380274813748</v>
      </c>
      <c r="C7">
        <f>((' RAW DATA'!G3-' RAW DATA'!E3)/' RAW DATA'!E3)*100</f>
        <v>31.792812979791691</v>
      </c>
      <c r="D7">
        <f>((' RAW DATA'!J3-' RAW DATA'!H3)/' RAW DATA'!H3)*100</f>
        <v>42.571131901216276</v>
      </c>
      <c r="E7" s="9">
        <f>((' RAW DATA'!M3-' RAW DATA'!K3)/' RAW DATA'!K3)*100</f>
        <v>62.626464058283148</v>
      </c>
    </row>
    <row r="8" spans="1:5" ht="15" thickBot="1" x14ac:dyDescent="0.4">
      <c r="A8" s="10" t="s">
        <v>68</v>
      </c>
      <c r="B8" s="11">
        <v>2</v>
      </c>
      <c r="C8" s="11">
        <v>4</v>
      </c>
      <c r="D8" s="11">
        <v>1</v>
      </c>
      <c r="E8" s="12">
        <v>3</v>
      </c>
    </row>
    <row r="10" spans="1:5" x14ac:dyDescent="0.35">
      <c r="A10" t="s">
        <v>69</v>
      </c>
    </row>
    <row r="13" spans="1:5" x14ac:dyDescent="0.35">
      <c r="A13" s="4" t="s">
        <v>70</v>
      </c>
    </row>
    <row r="14" spans="1:5" ht="15" thickBot="1" x14ac:dyDescent="0.4"/>
    <row r="15" spans="1:5" x14ac:dyDescent="0.35">
      <c r="A15" s="5" t="s">
        <v>33</v>
      </c>
      <c r="B15" s="6" t="s">
        <v>42</v>
      </c>
      <c r="C15" s="6" t="s">
        <v>43</v>
      </c>
      <c r="D15" s="6" t="s">
        <v>44</v>
      </c>
      <c r="E15" s="7" t="s">
        <v>45</v>
      </c>
    </row>
    <row r="16" spans="1:5" x14ac:dyDescent="0.35">
      <c r="A16" s="8" t="s">
        <v>71</v>
      </c>
      <c r="B16">
        <f>'RATIO ANALYSIS WITH FORMULAS'!D3</f>
        <v>8.1431766299808839</v>
      </c>
      <c r="C16">
        <f>'RATIO ANALYSIS WITH FORMULAS'!G3</f>
        <v>66.302747888510197</v>
      </c>
      <c r="D16">
        <f>'RATIO ANALYSIS WITH FORMULAS'!J3</f>
        <v>20.830847719395841</v>
      </c>
      <c r="E16" s="9">
        <f>'RATIO ANALYSIS WITH FORMULAS'!M3</f>
        <v>8.8611578895737626</v>
      </c>
    </row>
    <row r="17" spans="1:5" x14ac:dyDescent="0.35">
      <c r="A17" s="8" t="s">
        <v>72</v>
      </c>
      <c r="B17">
        <f>' RAW DATA'!D5/1000</f>
        <v>26.117000000000001</v>
      </c>
      <c r="C17">
        <f>' RAW DATA'!G5/1000</f>
        <v>83.891999999999996</v>
      </c>
      <c r="D17">
        <f>' RAW DATA'!J5/1000</f>
        <v>83.825000000000003</v>
      </c>
      <c r="E17" s="9">
        <f>' RAW DATA'!M5/1000</f>
        <v>29.704999999999998</v>
      </c>
    </row>
    <row r="18" spans="1:5" x14ac:dyDescent="0.35">
      <c r="A18" s="8" t="s">
        <v>28</v>
      </c>
      <c r="B18">
        <f>'RATIO ANALYSIS WITH FORMULAS'!D10</f>
        <v>15.418993753763683</v>
      </c>
      <c r="C18">
        <f>'RATIO ANALYSIS WITH FORMULAS'!G10</f>
        <v>60.339631598253654</v>
      </c>
      <c r="D18">
        <f>'RATIO ANALYSIS WITH FORMULAS'!J10</f>
        <v>38.660566452820966</v>
      </c>
      <c r="E18" s="9">
        <f>'RATIO ANALYSIS WITH FORMULAS'!M10</f>
        <v>-47.841071975004432</v>
      </c>
    </row>
    <row r="19" spans="1:5" ht="15" thickBot="1" x14ac:dyDescent="0.4">
      <c r="A19" s="10" t="s">
        <v>73</v>
      </c>
      <c r="B19" s="11">
        <v>4</v>
      </c>
      <c r="C19" s="11">
        <v>1</v>
      </c>
      <c r="D19" s="11">
        <v>2</v>
      </c>
      <c r="E19" s="12">
        <v>3</v>
      </c>
    </row>
    <row r="21" spans="1:5" x14ac:dyDescent="0.35">
      <c r="A21" t="s">
        <v>74</v>
      </c>
    </row>
    <row r="24" spans="1:5" x14ac:dyDescent="0.35">
      <c r="A24" s="4" t="s">
        <v>75</v>
      </c>
    </row>
    <row r="25" spans="1:5" ht="15" thickBot="1" x14ac:dyDescent="0.4"/>
    <row r="26" spans="1:5" x14ac:dyDescent="0.35">
      <c r="A26" s="5" t="s">
        <v>76</v>
      </c>
      <c r="B26" s="6" t="s">
        <v>42</v>
      </c>
      <c r="C26" s="6" t="s">
        <v>43</v>
      </c>
      <c r="D26" s="6" t="s">
        <v>44</v>
      </c>
      <c r="E26" s="7" t="s">
        <v>45</v>
      </c>
    </row>
    <row r="27" spans="1:5" x14ac:dyDescent="0.35">
      <c r="A27" s="8" t="s">
        <v>77</v>
      </c>
      <c r="B27">
        <f>VALUATION!C12</f>
        <v>2586.288</v>
      </c>
      <c r="C27">
        <f>VALUATION!C13</f>
        <v>762.25800000000004</v>
      </c>
      <c r="D27">
        <f>VALUATION!C14</f>
        <v>3278.8679999999999</v>
      </c>
      <c r="E27" s="9">
        <f>VALUATION!C15</f>
        <v>1467.912</v>
      </c>
    </row>
    <row r="28" spans="1:5" x14ac:dyDescent="0.35">
      <c r="A28" s="8" t="s">
        <v>78</v>
      </c>
      <c r="B28">
        <f>VALUATION!C21</f>
        <v>526.51499999999999</v>
      </c>
      <c r="C28">
        <f>VALUATION!C22</f>
        <v>1263.4949999999999</v>
      </c>
      <c r="D28">
        <f>VALUATION!C23</f>
        <v>1707.54</v>
      </c>
      <c r="E28" s="9">
        <f>VALUATION!C24</f>
        <v>325.185</v>
      </c>
    </row>
    <row r="29" spans="1:5" x14ac:dyDescent="0.35">
      <c r="A29" s="8" t="s">
        <v>99</v>
      </c>
      <c r="B29">
        <f>VALUATION!B41</f>
        <v>6.8337073940195348</v>
      </c>
      <c r="E29" s="9"/>
    </row>
    <row r="30" spans="1:5" x14ac:dyDescent="0.35">
      <c r="A30" s="8"/>
      <c r="E30" s="9"/>
    </row>
    <row r="31" spans="1:5" ht="15" thickBot="1" x14ac:dyDescent="0.4">
      <c r="A31" s="10" t="s">
        <v>79</v>
      </c>
      <c r="B31" s="11" t="s">
        <v>80</v>
      </c>
      <c r="C31" s="11" t="s">
        <v>81</v>
      </c>
      <c r="D31" s="11" t="s">
        <v>82</v>
      </c>
      <c r="E31" s="12" t="s">
        <v>83</v>
      </c>
    </row>
    <row r="33" spans="1:5" x14ac:dyDescent="0.35">
      <c r="A33" t="s">
        <v>84</v>
      </c>
    </row>
    <row r="36" spans="1:5" x14ac:dyDescent="0.35">
      <c r="A36" s="4" t="s">
        <v>85</v>
      </c>
    </row>
    <row r="37" spans="1:5" ht="15" thickBot="1" x14ac:dyDescent="0.4"/>
    <row r="38" spans="1:5" x14ac:dyDescent="0.35">
      <c r="A38" s="5" t="s">
        <v>33</v>
      </c>
      <c r="B38" s="6" t="s">
        <v>42</v>
      </c>
      <c r="C38" s="6" t="s">
        <v>43</v>
      </c>
      <c r="D38" s="6" t="s">
        <v>44</v>
      </c>
      <c r="E38" s="7" t="s">
        <v>45</v>
      </c>
    </row>
    <row r="39" spans="1:5" x14ac:dyDescent="0.35">
      <c r="A39" s="8" t="s">
        <v>86</v>
      </c>
      <c r="B39">
        <f>'RATIO ANALYSIS WITH FORMULAS'!D7</f>
        <v>353.8981937602627</v>
      </c>
      <c r="C39">
        <f>'RATIO ANALYSIS WITH FORMULAS'!G7</f>
        <v>123.4625850340136</v>
      </c>
      <c r="D39">
        <f>'RATIO ANALYSIS WITH FORMULAS'!J7</f>
        <v>423.95500387897596</v>
      </c>
      <c r="E39" s="9">
        <f>'RATIO ANALYSIS WITH FORMULAS'!M7</f>
        <v>663.0135501355013</v>
      </c>
    </row>
    <row r="40" spans="1:5" x14ac:dyDescent="0.35">
      <c r="A40" s="8" t="s">
        <v>87</v>
      </c>
      <c r="B40">
        <f>' RAW DATA'!D9</f>
        <v>1218</v>
      </c>
      <c r="C40">
        <f>' RAW DATA'!G9</f>
        <v>1029</v>
      </c>
      <c r="D40">
        <f>' RAW DATA'!J9</f>
        <v>1289</v>
      </c>
      <c r="E40" s="9">
        <f>' RAW DATA'!M9</f>
        <v>369</v>
      </c>
    </row>
    <row r="41" spans="1:5" ht="15" thickBot="1" x14ac:dyDescent="0.4">
      <c r="A41" s="10" t="s">
        <v>24</v>
      </c>
      <c r="B41" s="11">
        <f>'RATIO ANALYSIS WITH FORMULAS'!D6</f>
        <v>1.0373750354978606</v>
      </c>
      <c r="C41" s="11">
        <f>'RATIO ANALYSIS WITH FORMULAS'!G6</f>
        <v>0.61633062951175965</v>
      </c>
      <c r="D41" s="11">
        <f>'RATIO ANALYSIS WITH FORMULAS'!J6</f>
        <v>1.3108886095625558</v>
      </c>
      <c r="E41" s="12">
        <f>'RATIO ANALYSIS WITH FORMULAS'!M6</f>
        <v>0.73521836994118905</v>
      </c>
    </row>
    <row r="43" spans="1:5" x14ac:dyDescent="0.35">
      <c r="A43" t="s">
        <v>88</v>
      </c>
    </row>
    <row r="46" spans="1:5" x14ac:dyDescent="0.35">
      <c r="A46" s="4" t="s">
        <v>89</v>
      </c>
    </row>
    <row r="47" spans="1:5" ht="15" thickBot="1" x14ac:dyDescent="0.4"/>
    <row r="48" spans="1:5" x14ac:dyDescent="0.35">
      <c r="A48" s="5" t="s">
        <v>33</v>
      </c>
      <c r="B48" s="6" t="s">
        <v>42</v>
      </c>
      <c r="C48" s="6" t="s">
        <v>43</v>
      </c>
      <c r="D48" s="6" t="s">
        <v>44</v>
      </c>
      <c r="E48" s="7" t="s">
        <v>45</v>
      </c>
    </row>
    <row r="49" spans="1:5" x14ac:dyDescent="0.35">
      <c r="A49" s="8" t="s">
        <v>90</v>
      </c>
      <c r="B49">
        <f>'RATIO ANALYSIS WITH FORMULAS'!D9</f>
        <v>2.4531414199855948</v>
      </c>
      <c r="C49">
        <f>'RATIO ANALYSIS WITH FORMULAS'!G9</f>
        <v>1.4825832715973906</v>
      </c>
      <c r="D49">
        <f>'RATIO ANALYSIS WITH FORMULAS'!J9</f>
        <v>1.9226558068101631</v>
      </c>
      <c r="E49" s="9">
        <f>'RATIO ANALYSIS WITH FORMULAS'!M9</f>
        <v>-5.3592469117907591</v>
      </c>
    </row>
    <row r="50" spans="1:5" x14ac:dyDescent="0.35">
      <c r="A50" s="8" t="s">
        <v>91</v>
      </c>
      <c r="B50">
        <f>' RAW DATA'!D7/1000</f>
        <v>17.231999999999999</v>
      </c>
      <c r="C50">
        <f>' RAW DATA'!G7/1000</f>
        <v>39.024999999999999</v>
      </c>
      <c r="D50">
        <f>' RAW DATA'!J7/1000</f>
        <v>33.186</v>
      </c>
      <c r="E50" s="9">
        <f>' RAW DATA'!M7/1000</f>
        <v>78.772999999999996</v>
      </c>
    </row>
    <row r="51" spans="1:5" ht="15" thickBot="1" x14ac:dyDescent="0.4">
      <c r="A51" s="10" t="s">
        <v>92</v>
      </c>
      <c r="B51" s="11">
        <f>'RATIO ANALYSIS WITH FORMULAS'!D8/1000</f>
        <v>169.38200000000001</v>
      </c>
      <c r="C51" s="11">
        <f>'RATIO ANALYSIS WITH FORMULAS'!G8/1000</f>
        <v>139.03299999999999</v>
      </c>
      <c r="D51" s="11">
        <f>'RATIO ANALYSIS WITH FORMULAS'!J8/1000</f>
        <v>216.82300000000001</v>
      </c>
      <c r="E51" s="12">
        <f>'RATIO ANALYSIS WITH FORMULAS'!M8/1000</f>
        <v>-62.091000000000001</v>
      </c>
    </row>
    <row r="53" spans="1:5" x14ac:dyDescent="0.35">
      <c r="A53" t="s">
        <v>93</v>
      </c>
    </row>
    <row r="56" spans="1:5" x14ac:dyDescent="0.35">
      <c r="A56" t="s">
        <v>94</v>
      </c>
    </row>
    <row r="58" spans="1:5" x14ac:dyDescent="0.35">
      <c r="A58" t="s">
        <v>95</v>
      </c>
    </row>
    <row r="60" spans="1:5" x14ac:dyDescent="0.35">
      <c r="A60" t="s">
        <v>96</v>
      </c>
    </row>
    <row r="62" spans="1:5" x14ac:dyDescent="0.35">
      <c r="A62" t="s">
        <v>97</v>
      </c>
    </row>
    <row r="65" spans="1:1" x14ac:dyDescent="0.35">
      <c r="A65" t="s">
        <v>98</v>
      </c>
    </row>
    <row r="67" spans="1:1" x14ac:dyDescent="0.35">
      <c r="A67" t="s">
        <v>100</v>
      </c>
    </row>
    <row r="69" spans="1:1" x14ac:dyDescent="0.35">
      <c r="A69" t="s">
        <v>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34C77-3B72-4A0E-96D3-8882118823D2}">
  <dimension ref="A1:Q13"/>
  <sheetViews>
    <sheetView tabSelected="1" topLeftCell="I1" workbookViewId="0">
      <selection activeCell="P14" sqref="P14"/>
    </sheetView>
  </sheetViews>
  <sheetFormatPr defaultRowHeight="14.5" x14ac:dyDescent="0.35"/>
  <cols>
    <col min="1" max="1" width="28.7265625" customWidth="1"/>
    <col min="2" max="2" width="13.6328125" customWidth="1"/>
    <col min="4" max="4" width="17.54296875" customWidth="1"/>
    <col min="5" max="5" width="17" customWidth="1"/>
    <col min="6" max="6" width="17.54296875" customWidth="1"/>
    <col min="7" max="7" width="16" customWidth="1"/>
    <col min="8" max="8" width="15.453125" customWidth="1"/>
    <col min="9" max="9" width="15.54296875" customWidth="1"/>
    <col min="10" max="10" width="15.36328125" customWidth="1"/>
    <col min="12" max="12" width="15.08984375" customWidth="1"/>
    <col min="13" max="13" width="23.453125" customWidth="1"/>
    <col min="14" max="14" width="16.6328125" customWidth="1"/>
  </cols>
  <sheetData>
    <row r="1" spans="1:17" x14ac:dyDescent="0.35">
      <c r="A1" t="s">
        <v>39</v>
      </c>
      <c r="B1" s="13" t="s">
        <v>49</v>
      </c>
      <c r="C1" s="13" t="s">
        <v>102</v>
      </c>
      <c r="D1" s="13" t="s">
        <v>103</v>
      </c>
      <c r="E1" s="13" t="s">
        <v>104</v>
      </c>
      <c r="F1" s="13" t="s">
        <v>105</v>
      </c>
      <c r="G1" s="13" t="s">
        <v>17</v>
      </c>
      <c r="H1" s="13" t="s">
        <v>19</v>
      </c>
      <c r="I1" s="13" t="s">
        <v>106</v>
      </c>
      <c r="J1" s="13" t="s">
        <v>107</v>
      </c>
      <c r="K1" s="13" t="s">
        <v>108</v>
      </c>
      <c r="L1" s="13" t="s">
        <v>109</v>
      </c>
      <c r="M1" s="13" t="s">
        <v>110</v>
      </c>
      <c r="N1" s="13" t="s">
        <v>111</v>
      </c>
      <c r="O1" s="13" t="s">
        <v>114</v>
      </c>
      <c r="P1" s="13" t="s">
        <v>113</v>
      </c>
      <c r="Q1" s="13" t="s">
        <v>115</v>
      </c>
    </row>
    <row r="2" spans="1:17" x14ac:dyDescent="0.35">
      <c r="A2" t="s">
        <v>42</v>
      </c>
      <c r="B2" s="13">
        <v>2021</v>
      </c>
      <c r="C2" s="13">
        <v>213017</v>
      </c>
      <c r="D2" s="13">
        <v>15920</v>
      </c>
      <c r="E2" s="13">
        <v>7419</v>
      </c>
      <c r="F2" s="13">
        <v>278515</v>
      </c>
      <c r="G2" s="13">
        <v>35250</v>
      </c>
      <c r="H2" s="13">
        <v>867</v>
      </c>
      <c r="I2" s="13">
        <v>7.48</v>
      </c>
      <c r="J2" s="13">
        <v>3.48</v>
      </c>
      <c r="K2" s="13">
        <v>8.0399999999999991</v>
      </c>
      <c r="L2" s="13">
        <v>0.76</v>
      </c>
      <c r="M2" s="13">
        <v>245.69</v>
      </c>
      <c r="N2" s="13">
        <v>2.02</v>
      </c>
    </row>
    <row r="3" spans="1:17" x14ac:dyDescent="0.35">
      <c r="A3" t="s">
        <v>42</v>
      </c>
      <c r="B3" s="13">
        <v>2022</v>
      </c>
      <c r="C3" s="13">
        <v>327870</v>
      </c>
      <c r="D3" s="13">
        <v>22949</v>
      </c>
      <c r="E3" s="13">
        <v>7412</v>
      </c>
      <c r="F3" s="13">
        <v>329987</v>
      </c>
      <c r="G3" s="13">
        <v>17630</v>
      </c>
      <c r="H3" s="13">
        <v>1025</v>
      </c>
      <c r="I3" s="13">
        <v>7</v>
      </c>
      <c r="J3" s="13">
        <v>2.2599999999999998</v>
      </c>
      <c r="K3" s="13">
        <v>6.06</v>
      </c>
      <c r="L3" s="13">
        <v>0.99</v>
      </c>
      <c r="M3" s="13">
        <v>319.88</v>
      </c>
      <c r="N3" s="13">
        <v>1.7</v>
      </c>
    </row>
    <row r="4" spans="1:17" x14ac:dyDescent="0.35">
      <c r="A4" t="s">
        <v>42</v>
      </c>
      <c r="B4" s="13">
        <v>2023</v>
      </c>
      <c r="C4" s="13">
        <v>431048</v>
      </c>
      <c r="D4" s="13">
        <v>35101</v>
      </c>
      <c r="E4" s="13">
        <v>26117</v>
      </c>
      <c r="F4" s="13">
        <v>415518</v>
      </c>
      <c r="G4" s="13">
        <v>17232</v>
      </c>
      <c r="H4" s="13">
        <v>1218</v>
      </c>
      <c r="I4" s="13">
        <v>8.14</v>
      </c>
      <c r="J4" s="13">
        <v>6.06</v>
      </c>
      <c r="K4" s="13">
        <v>15.43</v>
      </c>
      <c r="L4" s="13">
        <v>1.04</v>
      </c>
      <c r="M4" s="13">
        <v>353.9</v>
      </c>
      <c r="N4" s="13">
        <v>1.45</v>
      </c>
      <c r="O4" s="13">
        <v>2586</v>
      </c>
      <c r="P4" s="13">
        <v>527</v>
      </c>
      <c r="Q4" s="13">
        <v>6834</v>
      </c>
    </row>
    <row r="5" spans="1:17" x14ac:dyDescent="0.35">
      <c r="A5" t="s">
        <v>43</v>
      </c>
      <c r="B5" s="13">
        <v>2021</v>
      </c>
      <c r="C5" s="13">
        <v>96396</v>
      </c>
      <c r="D5" s="13">
        <v>10131</v>
      </c>
      <c r="E5" s="13">
        <v>11940</v>
      </c>
      <c r="F5" s="13">
        <v>136897</v>
      </c>
      <c r="G5" s="13">
        <v>35160</v>
      </c>
      <c r="H5" s="13">
        <v>720</v>
      </c>
      <c r="I5" s="13">
        <v>10.51</v>
      </c>
      <c r="J5" s="13">
        <v>12.38</v>
      </c>
      <c r="K5" s="13">
        <v>12.01</v>
      </c>
      <c r="L5" s="13">
        <v>0.7</v>
      </c>
      <c r="M5" s="13">
        <v>133.88</v>
      </c>
      <c r="N5" s="13">
        <v>0.38</v>
      </c>
    </row>
    <row r="6" spans="1:17" x14ac:dyDescent="0.35">
      <c r="A6" t="s">
        <v>43</v>
      </c>
      <c r="B6" s="13">
        <v>2022</v>
      </c>
      <c r="C6" s="13">
        <v>142835</v>
      </c>
      <c r="D6" s="13">
        <v>14561</v>
      </c>
      <c r="E6" s="13">
        <v>17896</v>
      </c>
      <c r="F6" s="13">
        <v>165116</v>
      </c>
      <c r="G6" s="13">
        <v>23281</v>
      </c>
      <c r="H6" s="13">
        <v>785</v>
      </c>
      <c r="I6" s="13">
        <v>10.19</v>
      </c>
      <c r="J6" s="13">
        <v>12.53</v>
      </c>
      <c r="K6" s="13">
        <v>15.6</v>
      </c>
      <c r="L6" s="13">
        <v>0.87</v>
      </c>
      <c r="M6" s="13">
        <v>181.95</v>
      </c>
      <c r="N6" s="13">
        <v>0.44</v>
      </c>
    </row>
    <row r="7" spans="1:17" x14ac:dyDescent="0.35">
      <c r="A7" t="s">
        <v>43</v>
      </c>
      <c r="B7" s="13">
        <v>2023</v>
      </c>
      <c r="C7" s="13">
        <v>127043</v>
      </c>
      <c r="D7" s="13">
        <v>84233</v>
      </c>
      <c r="E7" s="13">
        <v>83892</v>
      </c>
      <c r="F7" s="13">
        <v>206128</v>
      </c>
      <c r="G7" s="13">
        <v>39025</v>
      </c>
      <c r="H7" s="13">
        <v>1029</v>
      </c>
      <c r="I7" s="13">
        <v>66.3</v>
      </c>
      <c r="J7" s="13">
        <v>66.02</v>
      </c>
      <c r="K7" s="13">
        <v>60.36</v>
      </c>
      <c r="L7" s="13">
        <v>0.62</v>
      </c>
      <c r="M7" s="13">
        <v>123.46</v>
      </c>
      <c r="N7" s="13">
        <v>0.48</v>
      </c>
      <c r="O7" s="13">
        <v>762</v>
      </c>
      <c r="P7" s="13">
        <v>1264</v>
      </c>
    </row>
    <row r="8" spans="1:17" x14ac:dyDescent="0.35">
      <c r="A8" t="s">
        <v>44</v>
      </c>
      <c r="B8" s="13">
        <v>2021</v>
      </c>
      <c r="C8" s="13">
        <v>383302</v>
      </c>
      <c r="D8" s="13">
        <v>71938</v>
      </c>
      <c r="E8" s="13">
        <v>68806</v>
      </c>
      <c r="F8" s="13">
        <v>304247</v>
      </c>
      <c r="G8" s="13">
        <v>4171</v>
      </c>
      <c r="H8" s="13">
        <v>1004</v>
      </c>
      <c r="I8" s="13">
        <v>18.77</v>
      </c>
      <c r="J8" s="13">
        <v>17.95</v>
      </c>
      <c r="K8" s="13">
        <v>49.14</v>
      </c>
      <c r="L8" s="13">
        <v>1.26</v>
      </c>
      <c r="M8" s="13">
        <v>381.77</v>
      </c>
      <c r="N8" s="13">
        <v>1.17</v>
      </c>
    </row>
    <row r="9" spans="1:17" x14ac:dyDescent="0.35">
      <c r="A9" t="s">
        <v>44</v>
      </c>
      <c r="B9" s="13">
        <v>2022</v>
      </c>
      <c r="C9" s="13">
        <v>474570</v>
      </c>
      <c r="D9" s="13">
        <v>113640</v>
      </c>
      <c r="E9" s="13">
        <v>89733</v>
      </c>
      <c r="F9" s="13">
        <v>356583</v>
      </c>
      <c r="G9" s="13">
        <v>38012</v>
      </c>
      <c r="H9" s="13">
        <v>1114</v>
      </c>
      <c r="I9" s="13">
        <v>23.95</v>
      </c>
      <c r="J9" s="13">
        <v>18.91</v>
      </c>
      <c r="K9" s="13">
        <v>49.26</v>
      </c>
      <c r="L9" s="13">
        <v>1.33</v>
      </c>
      <c r="M9" s="13">
        <v>426.05</v>
      </c>
      <c r="N9" s="13">
        <v>0.96</v>
      </c>
    </row>
    <row r="10" spans="1:17" x14ac:dyDescent="0.35">
      <c r="A10" t="s">
        <v>44</v>
      </c>
      <c r="B10" s="13">
        <v>2023</v>
      </c>
      <c r="C10" s="13">
        <v>546478</v>
      </c>
      <c r="D10" s="13">
        <v>113836</v>
      </c>
      <c r="E10" s="13">
        <v>83825</v>
      </c>
      <c r="F10" s="13">
        <v>416876</v>
      </c>
      <c r="G10" s="13">
        <v>33186</v>
      </c>
      <c r="H10" s="13">
        <v>1289</v>
      </c>
      <c r="I10" s="13">
        <v>20.83</v>
      </c>
      <c r="J10" s="13">
        <v>15.34</v>
      </c>
      <c r="K10" s="13">
        <v>38.69</v>
      </c>
      <c r="L10" s="13">
        <v>1.31</v>
      </c>
      <c r="M10" s="13">
        <v>423.95</v>
      </c>
      <c r="N10" s="13">
        <v>0.92</v>
      </c>
      <c r="O10" s="13">
        <v>3279</v>
      </c>
      <c r="P10" s="13">
        <v>1708</v>
      </c>
    </row>
    <row r="11" spans="1:17" x14ac:dyDescent="0.35">
      <c r="A11" t="s">
        <v>112</v>
      </c>
      <c r="B11" s="13">
        <v>2021</v>
      </c>
      <c r="C11" s="13">
        <v>150438</v>
      </c>
      <c r="D11" s="13">
        <v>39579</v>
      </c>
      <c r="E11" s="13">
        <v>43332</v>
      </c>
      <c r="F11" s="13">
        <v>70362</v>
      </c>
      <c r="G11" s="13">
        <v>125000</v>
      </c>
      <c r="H11" s="13">
        <v>457</v>
      </c>
      <c r="I11" s="13">
        <v>26.31</v>
      </c>
      <c r="J11" s="13">
        <v>28.8</v>
      </c>
      <c r="K11" s="13">
        <v>211.34</v>
      </c>
      <c r="L11" s="13">
        <v>2.14</v>
      </c>
      <c r="M11" s="13">
        <v>329.19</v>
      </c>
      <c r="N11" s="13">
        <v>2.42</v>
      </c>
    </row>
    <row r="12" spans="1:17" x14ac:dyDescent="0.35">
      <c r="A12" t="s">
        <v>112</v>
      </c>
      <c r="B12" s="13">
        <v>2022</v>
      </c>
      <c r="C12" s="13">
        <v>188728</v>
      </c>
      <c r="D12" s="13">
        <v>52714</v>
      </c>
      <c r="E12" s="13">
        <v>52915</v>
      </c>
      <c r="F12" s="13">
        <v>246158</v>
      </c>
      <c r="G12" s="13">
        <v>69774</v>
      </c>
      <c r="H12" s="13">
        <v>449</v>
      </c>
      <c r="I12" s="13">
        <v>27.93</v>
      </c>
      <c r="J12" s="13">
        <v>28.04</v>
      </c>
      <c r="K12" s="13">
        <v>15.65</v>
      </c>
      <c r="L12" s="13">
        <v>0.77</v>
      </c>
      <c r="M12" s="13">
        <v>420.33</v>
      </c>
      <c r="N12" s="13">
        <v>-8.35</v>
      </c>
    </row>
    <row r="13" spans="1:17" x14ac:dyDescent="0.35">
      <c r="A13" t="s">
        <v>112</v>
      </c>
      <c r="B13" s="13">
        <v>2023</v>
      </c>
      <c r="C13" s="13">
        <v>244652</v>
      </c>
      <c r="D13" s="13">
        <v>21679</v>
      </c>
      <c r="E13" s="13">
        <v>29705</v>
      </c>
      <c r="F13" s="13">
        <v>332761</v>
      </c>
      <c r="G13" s="13">
        <v>78773</v>
      </c>
      <c r="H13" s="13">
        <v>369</v>
      </c>
      <c r="I13" s="13">
        <v>8.86</v>
      </c>
      <c r="J13" s="13">
        <v>12.14</v>
      </c>
      <c r="K13" s="13">
        <v>-6.06</v>
      </c>
      <c r="L13" s="13">
        <v>0.74</v>
      </c>
      <c r="M13" s="13">
        <v>663.01</v>
      </c>
      <c r="N13" s="13">
        <v>-8.09</v>
      </c>
      <c r="O13" s="13">
        <v>1468</v>
      </c>
      <c r="P13" s="13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 RAW DATA</vt:lpstr>
      <vt:lpstr>RATIO ANALYSIS WITH FORMULAS</vt:lpstr>
      <vt:lpstr>VALUATION</vt:lpstr>
      <vt:lpstr>SUMMARY</vt:lpstr>
      <vt:lpstr>TABLEAU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SANSKAR GOUD</dc:creator>
  <cp:lastModifiedBy>SANSKAR GOUD</cp:lastModifiedBy>
  <dcterms:created xsi:type="dcterms:W3CDTF">2026-02-20T23:35:31Z</dcterms:created>
  <dcterms:modified xsi:type="dcterms:W3CDTF">2026-02-21T22:59:00Z</dcterms:modified>
</cp:coreProperties>
</file>